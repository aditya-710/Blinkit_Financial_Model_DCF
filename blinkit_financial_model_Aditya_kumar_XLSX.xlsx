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rojection_highest_package\"/>
    </mc:Choice>
  </mc:AlternateContent>
  <xr:revisionPtr revIDLastSave="0" documentId="13_ncr:1_{8344F494-0748-49F3-BECD-D4F2551AC35D}" xr6:coauthVersionLast="47" xr6:coauthVersionMax="47" xr10:uidLastSave="{00000000-0000-0000-0000-000000000000}"/>
  <bookViews>
    <workbookView xWindow="-108" yWindow="-108" windowWidth="23256" windowHeight="12456" xr2:uid="{95E6E0A6-127C-4F0D-A461-804977B09F76}"/>
  </bookViews>
  <sheets>
    <sheet name="Readme_Index" sheetId="7" r:id="rId1"/>
    <sheet name="Historical Data" sheetId="1" r:id="rId2"/>
    <sheet name="Assumptions" sheetId="2" r:id="rId3"/>
    <sheet name="Projections" sheetId="3" r:id="rId4"/>
    <sheet name="DCF Valuation" sheetId="4" r:id="rId5"/>
    <sheet name="Ratio Analysis" sheetId="8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8" l="1"/>
  <c r="E4" i="8"/>
  <c r="D4" i="8"/>
  <c r="G4" i="8"/>
  <c r="G3" i="8"/>
  <c r="G2" i="8"/>
  <c r="F4" i="8"/>
  <c r="F3" i="8"/>
  <c r="F2" i="8"/>
  <c r="E3" i="8"/>
  <c r="E2" i="8"/>
  <c r="D3" i="8"/>
  <c r="D2" i="8"/>
  <c r="C2" i="8"/>
  <c r="C3" i="8"/>
  <c r="B4" i="8"/>
  <c r="B3" i="8"/>
  <c r="B2" i="8"/>
  <c r="B20" i="4"/>
  <c r="D23" i="4"/>
  <c r="C23" i="4"/>
  <c r="B23" i="4"/>
  <c r="D22" i="4"/>
  <c r="C22" i="4"/>
  <c r="B22" i="4"/>
  <c r="D21" i="4"/>
  <c r="C21" i="4"/>
  <c r="B21" i="4"/>
  <c r="D20" i="4"/>
  <c r="C20" i="4"/>
  <c r="B4" i="3"/>
  <c r="B3" i="3"/>
  <c r="B2" i="3"/>
  <c r="C5" i="2"/>
  <c r="B5" i="2"/>
  <c r="F8" i="4"/>
  <c r="E8" i="4"/>
  <c r="D8" i="4"/>
  <c r="C8" i="4"/>
  <c r="B8" i="4"/>
  <c r="C2" i="3"/>
  <c r="C3" i="3" s="1"/>
  <c r="D2" i="2"/>
  <c r="C2" i="2"/>
  <c r="B2" i="2"/>
  <c r="C4" i="3" l="1"/>
  <c r="B7" i="4" s="1"/>
  <c r="B9" i="4" s="1"/>
  <c r="D2" i="3"/>
  <c r="E2" i="3" l="1"/>
  <c r="D3" i="3"/>
  <c r="D4" i="3"/>
  <c r="C7" i="4" s="1"/>
  <c r="C9" i="4" s="1"/>
  <c r="F2" i="3" l="1"/>
  <c r="E3" i="3"/>
  <c r="E4" i="3"/>
  <c r="D7" i="4" s="1"/>
  <c r="D9" i="4" s="1"/>
  <c r="F3" i="3" l="1"/>
  <c r="G2" i="3"/>
  <c r="F4" i="3"/>
  <c r="E7" i="4" s="1"/>
  <c r="E9" i="4" s="1"/>
  <c r="G3" i="3" l="1"/>
  <c r="G4" i="3" s="1"/>
  <c r="F7" i="4" s="1"/>
  <c r="F9" i="4" l="1"/>
  <c r="B11" i="4" s="1"/>
  <c r="B12" i="4"/>
  <c r="B13" i="4" l="1"/>
  <c r="B15" i="4" s="1"/>
</calcChain>
</file>

<file path=xl/sharedStrings.xml><?xml version="1.0" encoding="utf-8"?>
<sst xmlns="http://schemas.openxmlformats.org/spreadsheetml/2006/main" count="88" uniqueCount="88">
  <si>
    <t>Quarterly Particulars (Rs. Cr)</t>
  </si>
  <si>
    <t>Sales</t>
  </si>
  <si>
    <t>Expenses</t>
  </si>
  <si>
    <t>Operating Profit</t>
  </si>
  <si>
    <t>Net Profit</t>
  </si>
  <si>
    <t>Quarterly Metric</t>
  </si>
  <si>
    <t>Dec-2025 Growth %</t>
  </si>
  <si>
    <t>Sep-2025 Growth %</t>
  </si>
  <si>
    <t xml:space="preserve"> Mar-2026 Growth %</t>
  </si>
  <si>
    <t>Sales Growth Rate (QoQ)</t>
  </si>
  <si>
    <t>Particulars (Rs. Crores)</t>
  </si>
  <si>
    <t>Mar 2026 (A)</t>
  </si>
  <si>
    <t>Mar 2027 (E)</t>
  </si>
  <si>
    <t>Mar 2028 (E)</t>
  </si>
  <si>
    <t>Mar 2029 (E)</t>
  </si>
  <si>
    <t>Mar 2030 (E)</t>
  </si>
  <si>
    <t>Mar 2031 (E)</t>
  </si>
  <si>
    <t>Projected Expenses</t>
  </si>
  <si>
    <t>Projected Sales</t>
  </si>
  <si>
    <t xml:space="preserve">Projected Operating Profit </t>
  </si>
  <si>
    <t>DCF Inputs</t>
  </si>
  <si>
    <t>WACC (Cost of Capital)</t>
  </si>
  <si>
    <t>Perpetual Growth Rate</t>
  </si>
  <si>
    <t>Enterprise Value Bridge</t>
  </si>
  <si>
    <t>Year</t>
  </si>
  <si>
    <t>FY 2027</t>
  </si>
  <si>
    <t>FY 2028</t>
  </si>
  <si>
    <t>FY 2029</t>
  </si>
  <si>
    <t>FY 2030</t>
  </si>
  <si>
    <t>FY 2031</t>
  </si>
  <si>
    <t>Present Value (PV) Factor</t>
  </si>
  <si>
    <t>Discounted Cash Flow</t>
  </si>
  <si>
    <t>Sum of PV of Cash Flows</t>
  </si>
  <si>
    <t>Terminal Value</t>
  </si>
  <si>
    <t xml:space="preserve">Total Enterprise Value </t>
  </si>
  <si>
    <t>Total Shares Outstanding (Cr)</t>
  </si>
  <si>
    <t>Intrinsic Shares Price (Rs.)</t>
  </si>
  <si>
    <t>Annual Financials (Rs. Crores)</t>
  </si>
  <si>
    <t>Annual Sales</t>
  </si>
  <si>
    <t>Annual Expenses</t>
  </si>
  <si>
    <t>Annual Operating Profit</t>
  </si>
  <si>
    <t>Annual Metric</t>
  </si>
  <si>
    <t>FY-2025 Annual Growth %</t>
  </si>
  <si>
    <t>FY-2026 Annual Growth %</t>
  </si>
  <si>
    <t>Annual Sales Growth Rate</t>
  </si>
  <si>
    <t>Projection Title</t>
  </si>
  <si>
    <t>Three-Statement Financial Modeling  &amp; DCF Valuation of Ethernal Ltd (Zomato/Blinkit)</t>
  </si>
  <si>
    <t>Author</t>
  </si>
  <si>
    <t>Sheet Index (Guide)</t>
  </si>
  <si>
    <t>1. Readme_Index</t>
  </si>
  <si>
    <t>Project Overview, data sources, and sheet navigation guide</t>
  </si>
  <si>
    <t>2. Historical Data</t>
  </si>
  <si>
    <t xml:space="preserve">3. Assumptions </t>
  </si>
  <si>
    <t xml:space="preserve">Quarter-on-Quarter (QoQ) and Year-on-Year (YoY) revenue growth calculations. </t>
  </si>
  <si>
    <t>4. Projections</t>
  </si>
  <si>
    <t>5-Year conservative future forecasting (FY27 to FY31) using  % of Revenue method.</t>
  </si>
  <si>
    <t>Intrinsic share price calculation using 11% WACC and 4% Perpetual Growth Rate.</t>
  </si>
  <si>
    <t>Key Insight:</t>
  </si>
  <si>
    <t>FCFF Assumption (Assets-Light Proxy)</t>
  </si>
  <si>
    <t>CapEx ~1% of Revenue</t>
  </si>
  <si>
    <t>FCFF ≈ Operating Profit</t>
  </si>
  <si>
    <t>Unlevered Free Cash Flow / FCFF (Proxy)</t>
  </si>
  <si>
    <t>Sensitivity Analysis - Intrinsic Price (Rs.)</t>
  </si>
  <si>
    <t>WACC / Growth label</t>
  </si>
  <si>
    <t>Aditya Kumar (BBA Graduate| Finance &amp; Analytics)</t>
  </si>
  <si>
    <t>The model derives an intrinsic target share price of Rs. 250.17 based on 11% WACC and 4% growth rate, with sensitivity range of Rs. 199 to Rs. 418.</t>
  </si>
  <si>
    <t>5. DCF Valuation</t>
  </si>
  <si>
    <t>Metric</t>
  </si>
  <si>
    <t>FY-2026 (A)</t>
  </si>
  <si>
    <t>FY-2028 (E)</t>
  </si>
  <si>
    <t>FY-2027 (E)</t>
  </si>
  <si>
    <t>FY-2029 (E)</t>
  </si>
  <si>
    <t>FY-2030 (E)</t>
  </si>
  <si>
    <t>FY-2031 (E)</t>
  </si>
  <si>
    <t>Operating Margin %</t>
  </si>
  <si>
    <t>Net Profit Margin %</t>
  </si>
  <si>
    <t>Revenue Growth %</t>
  </si>
  <si>
    <t xml:space="preserve">Investment Recommendation </t>
  </si>
  <si>
    <t>BUY - Intrinsic Price Rs.250 vs Market Price Rs.230. Stock appears undervalued with 35% projected revenue growth.</t>
  </si>
  <si>
    <t>Company</t>
  </si>
  <si>
    <t>Revenue FY26</t>
  </si>
  <si>
    <t>Operating Margin</t>
  </si>
  <si>
    <t>Zomato/Blinkit</t>
  </si>
  <si>
    <t>Swiggy</t>
  </si>
  <si>
    <t>~12,000</t>
  </si>
  <si>
    <t>~2%</t>
  </si>
  <si>
    <t xml:space="preserve">Competitor Comparison </t>
  </si>
  <si>
    <t>3- Year Annual P&amp;L (FY24-FY26) and 4- Quarter historical results, Ratio Analysis and competitor comparison sourced from Screener.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</si>
</sst>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/>
    <xf numFmtId="9" fontId="2" fillId="0" borderId="0" xfId="1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Font="1" applyAlignment="1">
      <alignment horizontal="center"/>
    </xf>
    <xf numFmtId="3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3F554-497F-419B-B0F1-BD6F5364C027}">
  <dimension ref="A1:B11"/>
  <sheetViews>
    <sheetView tabSelected="1" workbookViewId="0">
      <selection activeCell="B6" sqref="B6"/>
    </sheetView>
  </sheetViews>
  <sheetFormatPr defaultRowHeight="14.4" x14ac:dyDescent="0.3"/>
  <cols>
    <col min="1" max="1" width="25.33203125" style="7" customWidth="1"/>
    <col min="2" max="2" width="95.44140625" customWidth="1"/>
    <col min="3" max="3" width="15.5546875" customWidth="1"/>
    <col min="4" max="4" width="10.6640625" customWidth="1"/>
    <col min="5" max="5" width="7.21875" customWidth="1"/>
  </cols>
  <sheetData>
    <row r="1" spans="1:2" s="7" customFormat="1" ht="25.2" customHeight="1" x14ac:dyDescent="0.3">
      <c r="A1" s="7" t="s">
        <v>45</v>
      </c>
      <c r="B1" s="7" t="s">
        <v>46</v>
      </c>
    </row>
    <row r="2" spans="1:2" ht="24" customHeight="1" x14ac:dyDescent="0.3">
      <c r="A2" s="7" t="s">
        <v>47</v>
      </c>
      <c r="B2" t="s">
        <v>64</v>
      </c>
    </row>
    <row r="3" spans="1:2" ht="25.2" customHeight="1" x14ac:dyDescent="0.3"/>
    <row r="4" spans="1:2" ht="25.8" customHeight="1" x14ac:dyDescent="0.3">
      <c r="A4" s="7" t="s">
        <v>48</v>
      </c>
    </row>
    <row r="5" spans="1:2" ht="27.6" customHeight="1" x14ac:dyDescent="0.3">
      <c r="A5" s="7" t="s">
        <v>49</v>
      </c>
      <c r="B5" t="s">
        <v>50</v>
      </c>
    </row>
    <row r="6" spans="1:2" ht="28.2" customHeight="1" x14ac:dyDescent="0.3">
      <c r="A6" s="7" t="s">
        <v>51</v>
      </c>
      <c r="B6" t="s">
        <v>87</v>
      </c>
    </row>
    <row r="7" spans="1:2" ht="28.2" customHeight="1" x14ac:dyDescent="0.3">
      <c r="A7" s="7" t="s">
        <v>52</v>
      </c>
      <c r="B7" t="s">
        <v>53</v>
      </c>
    </row>
    <row r="8" spans="1:2" s="9" customFormat="1" ht="26.4" customHeight="1" x14ac:dyDescent="0.3">
      <c r="A8" s="10" t="s">
        <v>54</v>
      </c>
      <c r="B8" s="9" t="s">
        <v>55</v>
      </c>
    </row>
    <row r="9" spans="1:2" ht="27" customHeight="1" x14ac:dyDescent="0.3">
      <c r="A9" s="7" t="s">
        <v>66</v>
      </c>
      <c r="B9" t="s">
        <v>56</v>
      </c>
    </row>
    <row r="10" spans="1:2" ht="18" customHeight="1" x14ac:dyDescent="0.3"/>
    <row r="11" spans="1:2" s="7" customFormat="1" ht="29.4" customHeight="1" x14ac:dyDescent="0.3">
      <c r="A11" s="7" t="s">
        <v>57</v>
      </c>
      <c r="B11" s="7" t="s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AAB3-ED28-46B7-91E6-72DDD5F38F78}">
  <dimension ref="A1:E14"/>
  <sheetViews>
    <sheetView workbookViewId="0">
      <selection activeCell="A15" sqref="A15"/>
    </sheetView>
  </sheetViews>
  <sheetFormatPr defaultRowHeight="14.4" x14ac:dyDescent="0.3"/>
  <cols>
    <col min="1" max="1" width="33.109375" style="7" customWidth="1"/>
    <col min="2" max="2" width="16.77734375" customWidth="1"/>
    <col min="3" max="3" width="14.21875" customWidth="1"/>
    <col min="4" max="4" width="14.109375" customWidth="1"/>
    <col min="5" max="5" width="14.21875" customWidth="1"/>
    <col min="6" max="6" width="14.88671875" customWidth="1"/>
    <col min="7" max="7" width="15.88671875" customWidth="1"/>
    <col min="8" max="8" width="16.109375" customWidth="1"/>
  </cols>
  <sheetData>
    <row r="1" spans="1:5" s="5" customFormat="1" ht="26.4" customHeight="1" x14ac:dyDescent="0.3">
      <c r="A1" s="5" t="s">
        <v>0</v>
      </c>
      <c r="B1" s="6">
        <v>45809</v>
      </c>
      <c r="C1" s="6">
        <v>45901</v>
      </c>
      <c r="D1" s="6">
        <v>45992</v>
      </c>
      <c r="E1" s="6">
        <v>46082</v>
      </c>
    </row>
    <row r="2" spans="1:5" s="1" customFormat="1" ht="17.399999999999999" customHeight="1" x14ac:dyDescent="0.3">
      <c r="A2" s="5" t="s">
        <v>1</v>
      </c>
      <c r="B2" s="2">
        <v>7167</v>
      </c>
      <c r="C2" s="2">
        <v>13590</v>
      </c>
      <c r="D2" s="2">
        <v>16315</v>
      </c>
      <c r="E2" s="2">
        <v>17292</v>
      </c>
    </row>
    <row r="3" spans="1:5" s="1" customFormat="1" ht="18" customHeight="1" x14ac:dyDescent="0.3">
      <c r="A3" s="5" t="s">
        <v>2</v>
      </c>
      <c r="B3" s="2">
        <v>7052</v>
      </c>
      <c r="C3" s="2">
        <v>13351</v>
      </c>
      <c r="D3" s="2">
        <v>15947</v>
      </c>
      <c r="E3" s="2">
        <v>16806</v>
      </c>
    </row>
    <row r="4" spans="1:5" s="1" customFormat="1" ht="22.2" customHeight="1" x14ac:dyDescent="0.3">
      <c r="A4" s="5" t="s">
        <v>3</v>
      </c>
      <c r="B4" s="1">
        <v>115</v>
      </c>
      <c r="C4" s="1">
        <v>239</v>
      </c>
      <c r="D4" s="1">
        <v>368</v>
      </c>
      <c r="E4" s="1">
        <v>486</v>
      </c>
    </row>
    <row r="5" spans="1:5" s="1" customFormat="1" ht="22.8" customHeight="1" x14ac:dyDescent="0.3">
      <c r="A5" s="5" t="s">
        <v>4</v>
      </c>
      <c r="B5" s="1">
        <v>25</v>
      </c>
      <c r="C5" s="1">
        <v>65</v>
      </c>
      <c r="D5" s="1">
        <v>102</v>
      </c>
      <c r="E5" s="1">
        <v>174</v>
      </c>
    </row>
    <row r="8" spans="1:5" s="5" customFormat="1" x14ac:dyDescent="0.3">
      <c r="A8" s="5" t="s">
        <v>37</v>
      </c>
      <c r="B8" s="6">
        <v>45352</v>
      </c>
      <c r="C8" s="6">
        <v>45717</v>
      </c>
      <c r="D8" s="6">
        <v>46082</v>
      </c>
    </row>
    <row r="9" spans="1:5" s="1" customFormat="1" x14ac:dyDescent="0.3">
      <c r="A9" s="5" t="s">
        <v>38</v>
      </c>
      <c r="B9" s="2">
        <v>12114</v>
      </c>
      <c r="C9" s="2">
        <v>20243</v>
      </c>
      <c r="D9" s="2">
        <v>54364</v>
      </c>
    </row>
    <row r="10" spans="1:5" s="1" customFormat="1" x14ac:dyDescent="0.3">
      <c r="A10" s="5" t="s">
        <v>39</v>
      </c>
      <c r="B10" s="2">
        <v>12071</v>
      </c>
      <c r="C10" s="2">
        <v>19595</v>
      </c>
      <c r="D10" s="2">
        <v>53156</v>
      </c>
    </row>
    <row r="11" spans="1:5" s="1" customFormat="1" x14ac:dyDescent="0.3">
      <c r="A11" s="5" t="s">
        <v>40</v>
      </c>
      <c r="B11" s="1">
        <v>43</v>
      </c>
      <c r="C11" s="1">
        <v>648</v>
      </c>
      <c r="D11" s="2">
        <v>1208</v>
      </c>
    </row>
    <row r="12" spans="1:5" s="1" customFormat="1" x14ac:dyDescent="0.3">
      <c r="A12" s="5"/>
    </row>
    <row r="13" spans="1:5" s="1" customFormat="1" x14ac:dyDescent="0.3">
      <c r="A13" s="5"/>
    </row>
    <row r="14" spans="1:5" s="1" customFormat="1" x14ac:dyDescent="0.3">
      <c r="A14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0B33A-0ABE-4DE5-B6B0-F6C64AF7A652}">
  <dimension ref="A1:D9"/>
  <sheetViews>
    <sheetView workbookViewId="0">
      <selection activeCell="A6" sqref="A6"/>
    </sheetView>
  </sheetViews>
  <sheetFormatPr defaultRowHeight="14.4" x14ac:dyDescent="0.3"/>
  <cols>
    <col min="1" max="1" width="33.109375" style="7" customWidth="1"/>
    <col min="2" max="2" width="24.5546875" customWidth="1"/>
    <col min="3" max="3" width="24.77734375" customWidth="1"/>
    <col min="4" max="4" width="23" customWidth="1"/>
    <col min="5" max="5" width="20" customWidth="1"/>
    <col min="6" max="7" width="20.6640625" customWidth="1"/>
  </cols>
  <sheetData>
    <row r="1" spans="1:4" s="5" customFormat="1" ht="25.2" customHeight="1" x14ac:dyDescent="0.3">
      <c r="A1" s="5" t="s">
        <v>5</v>
      </c>
      <c r="B1" s="5" t="s">
        <v>7</v>
      </c>
      <c r="C1" s="5" t="s">
        <v>6</v>
      </c>
      <c r="D1" s="5" t="s">
        <v>8</v>
      </c>
    </row>
    <row r="2" spans="1:4" s="3" customFormat="1" ht="18.600000000000001" customHeight="1" x14ac:dyDescent="0.3">
      <c r="A2" s="8" t="s">
        <v>9</v>
      </c>
      <c r="B2" s="3">
        <f>(('Historical Data'!C2-'Historical Data'!B2)/'Historical Data'!B2)</f>
        <v>0.8961908748430305</v>
      </c>
      <c r="C2" s="3">
        <f>(('Historical Data'!D2-'Historical Data'!C2)/'Historical Data'!C2)</f>
        <v>0.20051508462104489</v>
      </c>
      <c r="D2" s="3">
        <f>(('Historical Data'!E2-'Historical Data'!D2)/'Historical Data'!D2)</f>
        <v>5.9883542752068648E-2</v>
      </c>
    </row>
    <row r="3" spans="1:4" ht="25.2" customHeight="1" x14ac:dyDescent="0.3"/>
    <row r="4" spans="1:4" s="5" customFormat="1" x14ac:dyDescent="0.3">
      <c r="A4" s="5" t="s">
        <v>41</v>
      </c>
      <c r="B4" s="5" t="s">
        <v>42</v>
      </c>
      <c r="C4" s="5" t="s">
        <v>43</v>
      </c>
    </row>
    <row r="5" spans="1:4" s="1" customFormat="1" x14ac:dyDescent="0.3">
      <c r="A5" s="5" t="s">
        <v>44</v>
      </c>
      <c r="B5" s="3">
        <f>(('Historical Data'!C9-'Historical Data'!B9)/'Historical Data'!B9)</f>
        <v>0.67104176985306252</v>
      </c>
      <c r="C5" s="3">
        <f>(('Historical Data'!D9-'Historical Data'!C9)/'Historical Data'!C9)</f>
        <v>1.6855703206046535</v>
      </c>
    </row>
    <row r="6" spans="1:4" s="1" customFormat="1" x14ac:dyDescent="0.3">
      <c r="A6" s="5"/>
    </row>
    <row r="7" spans="1:4" s="1" customFormat="1" x14ac:dyDescent="0.3">
      <c r="A7" s="5"/>
    </row>
    <row r="8" spans="1:4" s="1" customFormat="1" x14ac:dyDescent="0.3">
      <c r="A8" s="5"/>
    </row>
    <row r="9" spans="1:4" s="1" customFormat="1" x14ac:dyDescent="0.3">
      <c r="A9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F465-E475-49B6-ADBC-A1CB58341D57}">
  <dimension ref="A1:G4"/>
  <sheetViews>
    <sheetView workbookViewId="0">
      <selection activeCell="H4" sqref="H4"/>
    </sheetView>
  </sheetViews>
  <sheetFormatPr defaultRowHeight="14.4" x14ac:dyDescent="0.3"/>
  <cols>
    <col min="1" max="1" width="32" style="7" customWidth="1"/>
    <col min="2" max="2" width="17.88671875" customWidth="1"/>
    <col min="3" max="3" width="18" customWidth="1"/>
    <col min="4" max="4" width="18.5546875" customWidth="1"/>
    <col min="5" max="5" width="17.6640625" customWidth="1"/>
    <col min="6" max="6" width="17.44140625" customWidth="1"/>
    <col min="7" max="7" width="18" customWidth="1"/>
    <col min="8" max="8" width="17.88671875" customWidth="1"/>
    <col min="9" max="9" width="17.6640625" customWidth="1"/>
  </cols>
  <sheetData>
    <row r="1" spans="1:7" s="5" customFormat="1" ht="21.6" customHeigh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6" t="s">
        <v>16</v>
      </c>
    </row>
    <row r="2" spans="1:7" s="1" customFormat="1" ht="25.8" customHeight="1" x14ac:dyDescent="0.3">
      <c r="A2" s="5" t="s">
        <v>18</v>
      </c>
      <c r="B2" s="2">
        <f>'Historical Data'!D9</f>
        <v>54364</v>
      </c>
      <c r="C2" s="1">
        <f>B2*(1+0.35)</f>
        <v>73391.400000000009</v>
      </c>
      <c r="D2" s="1">
        <f>C2*(1+0.3)</f>
        <v>95408.820000000022</v>
      </c>
      <c r="E2" s="1">
        <f>D2*(1+0.25)</f>
        <v>119261.02500000002</v>
      </c>
      <c r="F2" s="1">
        <f>E2*(1+0.2)</f>
        <v>143113.23000000001</v>
      </c>
      <c r="G2" s="1">
        <f>F2*(1+0.15)</f>
        <v>164580.2145</v>
      </c>
    </row>
    <row r="3" spans="1:7" s="1" customFormat="1" ht="22.2" customHeight="1" x14ac:dyDescent="0.3">
      <c r="A3" s="5" t="s">
        <v>17</v>
      </c>
      <c r="B3" s="2">
        <f>'Historical Data'!D10</f>
        <v>53156</v>
      </c>
      <c r="C3" s="1">
        <f>C2*0.96</f>
        <v>70455.744000000006</v>
      </c>
      <c r="D3" s="1">
        <f>D2*0.95</f>
        <v>90638.379000000015</v>
      </c>
      <c r="E3" s="1">
        <f>E2*0.93</f>
        <v>110912.75325000002</v>
      </c>
      <c r="F3" s="1">
        <f>F2*0.93</f>
        <v>133095.30390000003</v>
      </c>
      <c r="G3" s="1">
        <f>G2*0.92</f>
        <v>151413.79734000002</v>
      </c>
    </row>
    <row r="4" spans="1:7" s="1" customFormat="1" ht="24.6" customHeight="1" x14ac:dyDescent="0.3">
      <c r="A4" s="5" t="s">
        <v>19</v>
      </c>
      <c r="B4" s="2">
        <f t="shared" ref="B4:G4" si="0">B2-B3</f>
        <v>1208</v>
      </c>
      <c r="C4" s="1">
        <f t="shared" si="0"/>
        <v>2935.6560000000027</v>
      </c>
      <c r="D4" s="1">
        <f t="shared" si="0"/>
        <v>4770.4410000000062</v>
      </c>
      <c r="E4" s="1">
        <f t="shared" si="0"/>
        <v>8348.2717499999999</v>
      </c>
      <c r="F4" s="1">
        <f t="shared" si="0"/>
        <v>10017.926099999982</v>
      </c>
      <c r="G4" s="1">
        <f t="shared" si="0"/>
        <v>13166.417159999983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27A2A-4295-4F96-AA74-13775E3FECCA}">
  <dimension ref="A1:F23"/>
  <sheetViews>
    <sheetView workbookViewId="0">
      <selection activeCell="D23" sqref="D23"/>
    </sheetView>
  </sheetViews>
  <sheetFormatPr defaultRowHeight="14.4" x14ac:dyDescent="0.3"/>
  <cols>
    <col min="1" max="1" width="38" style="7" customWidth="1"/>
    <col min="2" max="2" width="21.77734375" customWidth="1"/>
    <col min="3" max="3" width="21.5546875" customWidth="1"/>
    <col min="4" max="4" width="21" customWidth="1"/>
    <col min="5" max="5" width="22.5546875" customWidth="1"/>
    <col min="6" max="6" width="21.21875" customWidth="1"/>
    <col min="7" max="7" width="19" customWidth="1"/>
    <col min="8" max="8" width="8.44140625" customWidth="1"/>
  </cols>
  <sheetData>
    <row r="1" spans="1:6" s="1" customFormat="1" x14ac:dyDescent="0.3">
      <c r="A1" s="5" t="s">
        <v>20</v>
      </c>
    </row>
    <row r="2" spans="1:6" s="1" customFormat="1" x14ac:dyDescent="0.3">
      <c r="A2" s="5" t="s">
        <v>21</v>
      </c>
      <c r="B2" s="4">
        <v>0.11</v>
      </c>
    </row>
    <row r="3" spans="1:6" s="1" customFormat="1" x14ac:dyDescent="0.3">
      <c r="A3" s="5" t="s">
        <v>22</v>
      </c>
      <c r="B3" s="4">
        <v>0.04</v>
      </c>
    </row>
    <row r="4" spans="1:6" s="1" customFormat="1" x14ac:dyDescent="0.3">
      <c r="A4" s="5" t="s">
        <v>23</v>
      </c>
    </row>
    <row r="5" spans="1:6" s="5" customFormat="1" x14ac:dyDescent="0.3">
      <c r="A5" s="5" t="s">
        <v>58</v>
      </c>
      <c r="B5" s="5" t="s">
        <v>59</v>
      </c>
      <c r="C5" s="5" t="s">
        <v>60</v>
      </c>
    </row>
    <row r="6" spans="1:6" s="5" customFormat="1" x14ac:dyDescent="0.3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</row>
    <row r="7" spans="1:6" s="1" customFormat="1" x14ac:dyDescent="0.3">
      <c r="A7" s="5" t="s">
        <v>61</v>
      </c>
      <c r="B7" s="1">
        <f>Projections!C4</f>
        <v>2935.6560000000027</v>
      </c>
      <c r="C7" s="1">
        <f>Projections!D4</f>
        <v>4770.4410000000062</v>
      </c>
      <c r="D7" s="1">
        <f>Projections!E4</f>
        <v>8348.2717499999999</v>
      </c>
      <c r="E7" s="1">
        <f>Projections!F4</f>
        <v>10017.926099999982</v>
      </c>
      <c r="F7" s="1">
        <f>Projections!G4</f>
        <v>13166.417159999983</v>
      </c>
    </row>
    <row r="8" spans="1:6" s="1" customFormat="1" x14ac:dyDescent="0.3">
      <c r="A8" s="5" t="s">
        <v>30</v>
      </c>
      <c r="B8" s="1">
        <f>1/((1+$B$2)^1)</f>
        <v>0.9009009009009008</v>
      </c>
      <c r="C8" s="1">
        <f>1/((1+$B$2)^2)</f>
        <v>0.8116224332440547</v>
      </c>
      <c r="D8" s="1">
        <f>1/((1+$B$2)^3)</f>
        <v>0.73119138130095018</v>
      </c>
      <c r="E8" s="1">
        <f>1/((1+$B$2)^4)</f>
        <v>0.65873097414500015</v>
      </c>
      <c r="F8" s="1">
        <f>1/((1+$B$2)^5)</f>
        <v>0.5934513280585586</v>
      </c>
    </row>
    <row r="9" spans="1:6" s="1" customFormat="1" x14ac:dyDescent="0.3">
      <c r="A9" s="5" t="s">
        <v>31</v>
      </c>
      <c r="B9" s="1">
        <f>B7*B8</f>
        <v>2644.7351351351372</v>
      </c>
      <c r="C9" s="1">
        <f t="shared" ref="C9:F9" si="0">C7*C8</f>
        <v>3871.7969320672064</v>
      </c>
      <c r="D9" s="1">
        <f t="shared" si="0"/>
        <v>6104.1843523582002</v>
      </c>
      <c r="E9" s="1">
        <f t="shared" si="0"/>
        <v>6599.1182187656104</v>
      </c>
      <c r="F9" s="1">
        <f t="shared" si="0"/>
        <v>7813.6277493749849</v>
      </c>
    </row>
    <row r="10" spans="1:6" s="1" customFormat="1" x14ac:dyDescent="0.3">
      <c r="A10" s="5"/>
    </row>
    <row r="11" spans="1:6" s="1" customFormat="1" x14ac:dyDescent="0.3">
      <c r="A11" s="5" t="s">
        <v>32</v>
      </c>
      <c r="B11" s="1">
        <f>SUM(B9:F9)</f>
        <v>27033.462387701136</v>
      </c>
    </row>
    <row r="12" spans="1:6" s="1" customFormat="1" x14ac:dyDescent="0.3">
      <c r="A12" s="5" t="s">
        <v>33</v>
      </c>
      <c r="B12" s="1">
        <f>(F7*(1+$B$3))/($B$2-$B$3)</f>
        <v>195615.34066285688</v>
      </c>
    </row>
    <row r="13" spans="1:6" s="1" customFormat="1" x14ac:dyDescent="0.3">
      <c r="A13" s="5" t="s">
        <v>34</v>
      </c>
      <c r="B13" s="1">
        <f>B11+B12</f>
        <v>222648.80305055802</v>
      </c>
    </row>
    <row r="14" spans="1:6" s="1" customFormat="1" x14ac:dyDescent="0.3">
      <c r="A14" s="5" t="s">
        <v>35</v>
      </c>
      <c r="B14" s="1">
        <v>890</v>
      </c>
    </row>
    <row r="15" spans="1:6" s="1" customFormat="1" x14ac:dyDescent="0.3">
      <c r="A15" s="5" t="s">
        <v>36</v>
      </c>
      <c r="B15" s="1">
        <f>B13/B14</f>
        <v>250.16719443882923</v>
      </c>
    </row>
    <row r="18" spans="1:4" s="1" customFormat="1" x14ac:dyDescent="0.3">
      <c r="A18" s="5" t="s">
        <v>62</v>
      </c>
    </row>
    <row r="19" spans="1:4" s="5" customFormat="1" x14ac:dyDescent="0.3">
      <c r="A19" s="11" t="s">
        <v>63</v>
      </c>
      <c r="B19" s="11">
        <v>0.03</v>
      </c>
      <c r="C19" s="11">
        <v>0.04</v>
      </c>
      <c r="D19" s="11">
        <v>0.05</v>
      </c>
    </row>
    <row r="20" spans="1:4" s="1" customFormat="1" x14ac:dyDescent="0.3">
      <c r="A20" s="11">
        <v>0.09</v>
      </c>
      <c r="B20" s="12">
        <f>((B11+(F7*(1+B19))/(A20-B19))/B14)</f>
        <v>284.33365951427066</v>
      </c>
      <c r="C20" s="13">
        <f>((B11+(F7*(1+C19))/(A20-C19))/B14)</f>
        <v>338.08420147831555</v>
      </c>
      <c r="D20" s="13">
        <f>((B11+(F7*(1+D19))/(A20-D19))/B14)</f>
        <v>418.71001442438285</v>
      </c>
    </row>
    <row r="21" spans="1:4" s="1" customFormat="1" x14ac:dyDescent="0.3">
      <c r="A21" s="11">
        <v>0.1</v>
      </c>
      <c r="B21" s="13">
        <f>((B11+(F7*(1+B19))/(A21-B19))/B14)</f>
        <v>248.05380484653389</v>
      </c>
      <c r="C21" s="13">
        <f>((B11+(F7*(1+C19))/(A21-C19))/B14)</f>
        <v>286.79928070528183</v>
      </c>
      <c r="D21" s="13">
        <f>((B11+(F7*(1+D19))/(A21-D19))/B14)</f>
        <v>341.04294690752891</v>
      </c>
    </row>
    <row r="22" spans="1:4" s="1" customFormat="1" x14ac:dyDescent="0.3">
      <c r="A22" s="11">
        <v>0.11</v>
      </c>
      <c r="B22" s="13">
        <f>((B11+(F7*(1+B19))/(A22-B19))/B14)</f>
        <v>220.84391384573138</v>
      </c>
      <c r="C22" s="13">
        <f>((B11+(F7*(1+C19))/(A22-C19))/B14)</f>
        <v>250.16719443882923</v>
      </c>
      <c r="D22" s="13">
        <f>((B11+(F7*(1+D19))/(A22-D19))/B14)</f>
        <v>289.26490189629311</v>
      </c>
    </row>
    <row r="23" spans="1:4" s="1" customFormat="1" x14ac:dyDescent="0.3">
      <c r="A23" s="11">
        <v>0.12</v>
      </c>
      <c r="B23" s="13">
        <f>((B11+(F7*(1+B19))/(A23-B19))/B14)</f>
        <v>199.68066528955163</v>
      </c>
      <c r="C23" s="13">
        <f>((B11+(F7*(1+C19))/(A23-C19))/B14)</f>
        <v>222.69312973898982</v>
      </c>
      <c r="D23" s="13">
        <f>((B11+(F7*(1+D19))/(A23-D19))/B14)</f>
        <v>252.28058403112462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9EC6-B6F9-4BDA-B623-38A73A28C339}">
  <dimension ref="A1:G11"/>
  <sheetViews>
    <sheetView workbookViewId="0">
      <selection activeCell="A8" sqref="A8"/>
    </sheetView>
  </sheetViews>
  <sheetFormatPr defaultRowHeight="14.4" x14ac:dyDescent="0.3"/>
  <cols>
    <col min="1" max="1" width="29.21875" style="7" customWidth="1"/>
    <col min="2" max="2" width="21.6640625" customWidth="1"/>
    <col min="3" max="3" width="21" customWidth="1"/>
    <col min="4" max="5" width="20.33203125" customWidth="1"/>
    <col min="6" max="6" width="20.44140625" customWidth="1"/>
    <col min="7" max="7" width="19.44140625" customWidth="1"/>
    <col min="8" max="8" width="11.5546875" customWidth="1"/>
  </cols>
  <sheetData>
    <row r="1" spans="1:7" s="5" customFormat="1" x14ac:dyDescent="0.3">
      <c r="A1" s="5" t="s">
        <v>67</v>
      </c>
      <c r="B1" s="8" t="s">
        <v>68</v>
      </c>
      <c r="C1" s="8" t="s">
        <v>70</v>
      </c>
      <c r="D1" s="8" t="s">
        <v>69</v>
      </c>
      <c r="E1" s="8" t="s">
        <v>71</v>
      </c>
      <c r="F1" s="8" t="s">
        <v>72</v>
      </c>
      <c r="G1" s="8" t="s">
        <v>73</v>
      </c>
    </row>
    <row r="2" spans="1:7" s="1" customFormat="1" x14ac:dyDescent="0.3">
      <c r="A2" s="5" t="s">
        <v>74</v>
      </c>
      <c r="B2" s="3">
        <f>'Historical Data'!E4/'Historical Data'!E2</f>
        <v>2.8105482303955587E-2</v>
      </c>
      <c r="C2" s="3">
        <f>Projections!C4/Projections!C2</f>
        <v>4.0000000000000029E-2</v>
      </c>
      <c r="D2" s="3">
        <f>Projections!D4/Projections!D2</f>
        <v>5.0000000000000051E-2</v>
      </c>
      <c r="E2" s="3">
        <f>Projections!E4/Projections!E2</f>
        <v>6.9999999999999979E-2</v>
      </c>
      <c r="F2" s="3">
        <f>Projections!F4/Projections!F2</f>
        <v>6.9999999999999868E-2</v>
      </c>
      <c r="G2" s="3">
        <f>Projections!G4/Projections!G2</f>
        <v>7.9999999999999891E-2</v>
      </c>
    </row>
    <row r="3" spans="1:7" s="1" customFormat="1" x14ac:dyDescent="0.3">
      <c r="A3" s="5" t="s">
        <v>75</v>
      </c>
      <c r="B3" s="3">
        <f>'Historical Data'!E5/'Historical Data'!E2</f>
        <v>1.0062456627342124E-2</v>
      </c>
      <c r="C3" s="3">
        <f>Projections!C4/Projections!C2</f>
        <v>4.0000000000000029E-2</v>
      </c>
      <c r="D3" s="3">
        <f>Projections!D4/Projections!D2</f>
        <v>5.0000000000000051E-2</v>
      </c>
      <c r="E3" s="3">
        <f>Projections!E4/Projections!E2</f>
        <v>6.9999999999999979E-2</v>
      </c>
      <c r="F3" s="3">
        <f>Projections!F4/Projections!F2</f>
        <v>6.9999999999999868E-2</v>
      </c>
      <c r="G3" s="3">
        <f>Projections!G4/Projections!G2</f>
        <v>7.9999999999999891E-2</v>
      </c>
    </row>
    <row r="4" spans="1:7" s="1" customFormat="1" x14ac:dyDescent="0.3">
      <c r="A4" s="5" t="s">
        <v>76</v>
      </c>
      <c r="B4" s="3">
        <f>('Historical Data'!E2-'Historical Data'!D2)/'Historical Data'!D2</f>
        <v>5.9883542752068648E-2</v>
      </c>
      <c r="C4" s="3">
        <f>(Projections!C2-Projections!B2)/Projections!B2</f>
        <v>0.35000000000000014</v>
      </c>
      <c r="D4" s="3">
        <f>(Projections!D2-Projections!C2)/Projections!C2</f>
        <v>0.30000000000000016</v>
      </c>
      <c r="E4" s="3">
        <f>(Projections!E2-Projections!D2)/Projections!D2</f>
        <v>0.24999999999999997</v>
      </c>
      <c r="F4" s="3">
        <f>(Projections!F2-Projections!E2)/Projections!E2</f>
        <v>0.19999999999999984</v>
      </c>
      <c r="G4" s="3">
        <f>(Projections!G2-Projections!F2)/Projections!F2</f>
        <v>0.14999999999999994</v>
      </c>
    </row>
    <row r="5" spans="1:7" ht="19.2" customHeight="1" x14ac:dyDescent="0.3"/>
    <row r="6" spans="1:7" s="10" customFormat="1" x14ac:dyDescent="0.3">
      <c r="A6" s="10" t="s">
        <v>77</v>
      </c>
      <c r="B6" s="10" t="s">
        <v>78</v>
      </c>
    </row>
    <row r="7" spans="1:7" ht="18.600000000000001" customHeight="1" x14ac:dyDescent="0.3"/>
    <row r="8" spans="1:7" s="1" customFormat="1" x14ac:dyDescent="0.3">
      <c r="A8" s="5" t="s">
        <v>86</v>
      </c>
    </row>
    <row r="9" spans="1:7" s="5" customFormat="1" x14ac:dyDescent="0.3">
      <c r="A9" s="5" t="s">
        <v>79</v>
      </c>
      <c r="B9" s="5" t="s">
        <v>80</v>
      </c>
      <c r="C9" s="5" t="s">
        <v>81</v>
      </c>
    </row>
    <row r="10" spans="1:7" s="14" customFormat="1" x14ac:dyDescent="0.3">
      <c r="A10" s="14" t="s">
        <v>82</v>
      </c>
      <c r="B10" s="15">
        <v>54364</v>
      </c>
      <c r="C10" s="16">
        <v>0.03</v>
      </c>
    </row>
    <row r="11" spans="1:7" s="14" customFormat="1" x14ac:dyDescent="0.3">
      <c r="A11" s="14" t="s">
        <v>83</v>
      </c>
      <c r="B11" s="14" t="s">
        <v>84</v>
      </c>
      <c r="C11" s="14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Readme_Index</vt:lpstr>
      <vt:lpstr>Historical Data</vt:lpstr>
      <vt:lpstr>Assumptions</vt:lpstr>
      <vt:lpstr>Projections</vt:lpstr>
      <vt:lpstr>DCF Valuation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Kumari</dc:creator>
  <cp:lastModifiedBy>Neha Kumari</cp:lastModifiedBy>
  <dcterms:created xsi:type="dcterms:W3CDTF">2026-06-25T17:55:44Z</dcterms:created>
  <dcterms:modified xsi:type="dcterms:W3CDTF">2026-06-27T08:21:47Z</dcterms:modified>
</cp:coreProperties>
</file>